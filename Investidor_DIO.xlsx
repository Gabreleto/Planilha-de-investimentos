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542" documentId="13_ncr:1_{926FCA76-629B-4D83-94EF-1A2760DA021F}" xr6:coauthVersionLast="47" xr6:coauthVersionMax="47" xr10:uidLastSave="{9F99E779-272D-4386-A306-A0D928AAE107}"/>
  <bookViews>
    <workbookView xWindow="-20610" yWindow="630" windowWidth="20730" windowHeight="1176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" l="1"/>
  <c r="D64" i="2" a="1"/>
  <c r="D64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3" i="2"/>
  <c r="D64" i="1" s="1"/>
  <c r="C64" i="1" s="1"/>
  <c r="C64" i="2"/>
  <c r="C60" i="1"/>
  <c r="D14" i="1"/>
  <c r="C35" i="1"/>
  <c r="C36" i="1"/>
  <c r="C37" i="1"/>
  <c r="C38" i="1"/>
  <c r="C39" i="1"/>
  <c r="C40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2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66" i="1" l="1"/>
  <c r="C66" i="1" s="1"/>
  <c r="D65" i="1"/>
  <c r="C65" i="1" s="1"/>
  <c r="D35" i="1"/>
  <c r="A35" i="1" s="1"/>
  <c r="D40" i="1"/>
  <c r="A40" i="1" s="1"/>
  <c r="D38" i="1"/>
  <c r="A38" i="1" s="1"/>
  <c r="D37" i="1"/>
  <c r="A37" i="1" s="1"/>
  <c r="D39" i="1"/>
  <c r="A39" i="1" s="1"/>
  <c r="D36" i="1"/>
  <c r="A36" i="1" s="1"/>
  <c r="D4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<sst xmlns="http://schemas.openxmlformats.org/spreadsheetml/2006/main" count="82" uniqueCount="42">
  <si>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</si>
  <si>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</si>
  <si>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</si>
  <si>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</si>
  <si>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</si>
  <si>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</si>
  <si>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</si>
  <si>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</si>
  <si>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</si>
  <si>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</si>
  <si>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</si>
  <si>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</si>
  <si>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</si>
  <si>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</si>
  <si>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</si>
  <si>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</si>
  <si>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</si>
  <si>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</si>
  <si>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Conservador</t>
  </si>
  <si>
    <t>VALOR A SER INVESTIDO POR MÊS</t>
  </si>
  <si>
    <t>VLR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</si>
  <si>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</si>
  <si>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</si>
  <si>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</si>
  <si>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</si>
  <si>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</si>
  <si>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</si>
  <si>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</si>
  <si>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</si>
  <si>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</si>
  <si>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RECOMENDAÇÃO</t>
  </si>
  <si>
    <t>Valor do investimento</t>
  </si>
  <si>
    <t>Melhor Investimento</t>
  </si>
  <si>
    <t>Perfil</t>
  </si>
  <si>
    <t>Tipo de FII</t>
  </si>
  <si>
    <t xml:space="preserve">Valor </t>
  </si>
  <si>
    <t>Moderado</t>
  </si>
  <si>
    <t>Agressivo</t>
  </si>
  <si>
    <t>CHAVE</t>
  </si>
  <si>
    <t>%</t>
  </si>
  <si>
    <t>Valor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</si>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</sst>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2"/>
      <color theme="1"/>
      <name val="Aptos Narrow"/>
      <family val="2"/>
      <scheme val="minor"/>
    </font>
    <font>
      <b/>
      <sz val="15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81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indent="3"/>
    </xf>
    <xf numFmtId="164" fontId="9" fillId="4" borderId="6" xfId="0" applyNumberFormat="1" applyFont="1" applyFill="1" applyBorder="1" applyAlignment="1">
      <alignment horizontal="center"/>
    </xf>
    <xf numFmtId="164" fontId="9" fillId="4" borderId="7" xfId="0" applyNumberFormat="1" applyFont="1" applyFill="1" applyBorder="1" applyAlignment="1">
      <alignment horizontal="center"/>
    </xf>
    <xf numFmtId="0" fontId="8" fillId="4" borderId="8" xfId="0" applyFont="1" applyFill="1" applyBorder="1" applyAlignment="1">
      <alignment horizontal="left" indent="3"/>
    </xf>
    <xf numFmtId="164" fontId="9" fillId="4" borderId="9" xfId="0" applyNumberFormat="1" applyFont="1" applyFill="1" applyBorder="1" applyAlignment="1">
      <alignment horizontal="center"/>
    </xf>
    <xf numFmtId="164" fontId="9" fillId="4" borderId="10" xfId="0" applyNumberFormat="1" applyFont="1" applyFill="1" applyBorder="1" applyAlignment="1">
      <alignment horizontal="center"/>
    </xf>
    <xf numFmtId="0" fontId="8" fillId="4" borderId="11" xfId="0" applyFont="1" applyFill="1" applyBorder="1" applyAlignment="1">
      <alignment horizontal="left" indent="3"/>
    </xf>
    <xf numFmtId="164" fontId="9" fillId="4" borderId="12" xfId="0" applyNumberFormat="1" applyFont="1" applyFill="1" applyBorder="1" applyAlignment="1">
      <alignment horizontal="center"/>
    </xf>
    <xf numFmtId="164" fontId="9" fillId="4" borderId="13" xfId="0" applyNumberFormat="1" applyFont="1" applyFill="1" applyBorder="1" applyAlignment="1">
      <alignment horizontal="center"/>
    </xf>
    <xf numFmtId="164" fontId="10" fillId="0" borderId="16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8" fontId="10" fillId="4" borderId="19" xfId="0" applyNumberFormat="1" applyFont="1" applyFill="1" applyBorder="1" applyAlignment="1">
      <alignment horizontal="center"/>
    </xf>
    <xf numFmtId="8" fontId="10" fillId="4" borderId="22" xfId="0" applyNumberFormat="1" applyFont="1" applyFill="1" applyBorder="1" applyAlignment="1">
      <alignment horizontal="center"/>
    </xf>
    <xf numFmtId="164" fontId="9" fillId="0" borderId="16" xfId="1" applyNumberFormat="1" applyFont="1" applyBorder="1" applyAlignment="1">
      <alignment horizontal="center"/>
    </xf>
    <xf numFmtId="10" fontId="9" fillId="0" borderId="19" xfId="0" applyNumberFormat="1" applyFont="1" applyBorder="1" applyAlignment="1">
      <alignment horizontal="center"/>
    </xf>
    <xf numFmtId="164" fontId="9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/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3" fillId="0" borderId="27" xfId="0" applyFont="1" applyBorder="1" applyAlignment="1">
      <alignment horizontal="center"/>
    </xf>
    <xf numFmtId="9" fontId="0" fillId="0" borderId="27" xfId="0" applyNumberFormat="1" applyFont="1" applyBorder="1" applyAlignment="1">
      <alignment horizontal="center"/>
    </xf>
    <xf numFmtId="164" fontId="3" fillId="6" borderId="29" xfId="0" applyNumberFormat="1" applyFont="1" applyFill="1" applyBorder="1" applyAlignment="1">
      <alignment horizontal="center"/>
    </xf>
    <xf numFmtId="9" fontId="0" fillId="0" borderId="30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9" fontId="0" fillId="0" borderId="31" xfId="0" applyNumberFormat="1" applyFont="1" applyBorder="1" applyAlignment="1">
      <alignment horizontal="center"/>
    </xf>
    <xf numFmtId="164" fontId="3" fillId="6" borderId="0" xfId="0" applyNumberFormat="1" applyFont="1" applyFill="1" applyBorder="1" applyAlignment="1">
      <alignment horizontal="center"/>
    </xf>
    <xf numFmtId="164" fontId="3" fillId="7" borderId="0" xfId="0" applyNumberFormat="1" applyFont="1" applyFill="1" applyBorder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0" fontId="5" fillId="5" borderId="1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6" fillId="10" borderId="23" xfId="0" applyFont="1" applyFill="1" applyBorder="1" applyAlignment="1">
      <alignment horizontal="center" vertical="top"/>
    </xf>
    <xf numFmtId="0" fontId="6" fillId="10" borderId="24" xfId="0" applyFont="1" applyFill="1" applyBorder="1" applyAlignment="1">
      <alignment horizontal="center" vertical="top"/>
    </xf>
    <xf numFmtId="0" fontId="6" fillId="10" borderId="25" xfId="0" applyFont="1" applyFill="1" applyBorder="1" applyAlignment="1">
      <alignment horizontal="center" vertical="top"/>
    </xf>
    <xf numFmtId="0" fontId="8" fillId="6" borderId="14" xfId="0" applyFont="1" applyFill="1" applyBorder="1" applyAlignment="1">
      <alignment horizontal="left" indent="3"/>
    </xf>
    <xf numFmtId="0" fontId="8" fillId="6" borderId="15" xfId="0" applyFont="1" applyFill="1" applyBorder="1" applyAlignment="1">
      <alignment horizontal="left" indent="3"/>
    </xf>
    <xf numFmtId="0" fontId="8" fillId="6" borderId="17" xfId="0" applyFont="1" applyFill="1" applyBorder="1" applyAlignment="1">
      <alignment horizontal="left" indent="3"/>
    </xf>
    <xf numFmtId="0" fontId="8" fillId="6" borderId="18" xfId="0" applyFont="1" applyFill="1" applyBorder="1" applyAlignment="1">
      <alignment horizontal="left" indent="3"/>
    </xf>
    <xf numFmtId="0" fontId="8" fillId="6" borderId="20" xfId="0" applyFont="1" applyFill="1" applyBorder="1" applyAlignment="1">
      <alignment horizontal="left" indent="3"/>
    </xf>
    <xf numFmtId="0" fontId="8" fillId="6" borderId="21" xfId="0" applyFont="1" applyFill="1" applyBorder="1" applyAlignment="1">
      <alignment horizontal="left" indent="3"/>
    </xf>
    <xf numFmtId="0" fontId="11" fillId="4" borderId="17" xfId="0" applyFont="1" applyFill="1" applyBorder="1" applyAlignment="1">
      <alignment horizontal="left" indent="3"/>
    </xf>
    <xf numFmtId="0" fontId="11" fillId="4" borderId="18" xfId="0" applyFont="1" applyFill="1" applyBorder="1" applyAlignment="1">
      <alignment horizontal="left" indent="3"/>
    </xf>
    <xf numFmtId="0" fontId="6" fillId="3" borderId="1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11" fillId="4" borderId="20" xfId="0" applyFont="1" applyFill="1" applyBorder="1" applyAlignment="1">
      <alignment horizontal="left" indent="3"/>
    </xf>
    <xf numFmtId="0" fontId="11" fillId="4" borderId="21" xfId="0" applyFont="1" applyFill="1" applyBorder="1" applyAlignment="1">
      <alignment horizontal="left" indent="3"/>
    </xf>
    <xf numFmtId="0" fontId="6" fillId="3" borderId="2" xfId="0" applyFont="1" applyFill="1" applyBorder="1" applyAlignment="1">
      <alignment horizontal="center" vertical="top"/>
    </xf>
    <xf numFmtId="0" fontId="3" fillId="7" borderId="0" xfId="0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9" fontId="0" fillId="0" borderId="29" xfId="0" applyNumberFormat="1" applyFont="1" applyBorder="1" applyAlignment="1">
      <alignment horizontal="center"/>
    </xf>
    <xf numFmtId="9" fontId="12" fillId="11" borderId="26" xfId="0" applyNumberFormat="1" applyFont="1" applyFill="1" applyBorder="1" applyAlignment="1">
      <alignment horizontal="center" vertical="center"/>
    </xf>
    <xf numFmtId="164" fontId="12" fillId="11" borderId="26" xfId="0" applyNumberFormat="1" applyFont="1" applyFill="1" applyBorder="1" applyAlignment="1">
      <alignment horizontal="center"/>
    </xf>
    <xf numFmtId="0" fontId="12" fillId="11" borderId="26" xfId="0" applyFont="1" applyFill="1" applyBorder="1" applyAlignment="1">
      <alignment horizontal="left" indent="1"/>
    </xf>
    <xf numFmtId="0" fontId="12" fillId="12" borderId="26" xfId="0" applyFont="1" applyFill="1" applyBorder="1"/>
    <xf numFmtId="0" fontId="12" fillId="12" borderId="26" xfId="0" applyFont="1" applyFill="1" applyBorder="1" applyAlignment="1">
      <alignment horizontal="center"/>
    </xf>
    <xf numFmtId="0" fontId="0" fillId="6" borderId="32" xfId="0" applyFill="1" applyBorder="1"/>
    <xf numFmtId="0" fontId="0" fillId="6" borderId="32" xfId="0" applyFill="1" applyBorder="1" applyAlignment="1">
      <alignment horizontal="center"/>
    </xf>
    <xf numFmtId="164" fontId="0" fillId="6" borderId="32" xfId="0" applyNumberFormat="1" applyFill="1" applyBorder="1" applyAlignment="1">
      <alignment horizontal="center"/>
    </xf>
    <xf numFmtId="0" fontId="0" fillId="6" borderId="33" xfId="0" applyFill="1" applyBorder="1"/>
    <xf numFmtId="0" fontId="0" fillId="6" borderId="33" xfId="0" applyFill="1" applyBorder="1" applyAlignment="1">
      <alignment horizontal="center"/>
    </xf>
    <xf numFmtId="164" fontId="0" fillId="6" borderId="33" xfId="0" applyNumberFormat="1" applyFill="1" applyBorder="1" applyAlignment="1">
      <alignment horizontal="center"/>
    </xf>
    <xf numFmtId="0" fontId="13" fillId="3" borderId="0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APP!$C$34</c:f>
              <c:strCache>
                <c:ptCount val="1"/>
                <c:pt idx="0">
                  <c:v>Percentual Sugerido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16-45BE-9895-3CC25A552375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16-45BE-9895-3CC25A552375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16-45BE-9895-3CC25A552375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C16-45BE-9895-3CC25A552375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C16-45BE-9895-3CC25A552375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C16-45BE-9895-3CC25A5523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94475528"/>
        <c:axId val="1794477576"/>
      </c:barChart>
      <c:catAx>
        <c:axId val="1794475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77576"/>
        <c:crosses val="autoZero"/>
        <c:auto val="1"/>
        <c:lblAlgn val="ctr"/>
        <c:lblOffset val="100"/>
        <c:noMultiLvlLbl val="0"/>
      </c:catAx>
      <c:valAx>
        <c:axId val="1794477576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75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41</xdr:row>
      <xdr:rowOff>97971</xdr:rowOff>
    </xdr:from>
    <xdr:to>
      <xdr:col>3</xdr:col>
      <xdr:colOff>892175</xdr:colOff>
      <xdr:row>54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38100</xdr:colOff>
      <xdr:row>0</xdr:row>
      <xdr:rowOff>133350</xdr:rowOff>
    </xdr:from>
    <xdr:to>
      <xdr:col>3</xdr:col>
      <xdr:colOff>600075</xdr:colOff>
      <xdr:row>8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D0D36D-16DB-91E7-D0BB-39BC40430F94}"/>
            </a:ext>
            <a:ext uri="{147F2762-F138-4A5C-976F-8EAC2B608ADB}">
              <a16:predDERef xmlns:a16="http://schemas.microsoft.com/office/drawing/2014/main" pred="{C4B8E7C0-F2C3-7792-03A6-894CBA53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1458" t="27813" r="11875" b="35000"/>
        <a:stretch>
          <a:fillRect/>
        </a:stretch>
      </xdr:blipFill>
      <xdr:spPr>
        <a:xfrm>
          <a:off x="400050" y="133350"/>
          <a:ext cx="4743450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I67"/>
  <sheetViews>
    <sheetView showGridLines="0" tabSelected="1" topLeftCell="A23" zoomScale="110" zoomScaleNormal="110" workbookViewId="0">
      <selection activeCell="B70" sqref="B70"/>
    </sheetView>
  </sheetViews>
  <sheetFormatPr defaultColWidth="0" defaultRowHeight="14.45"/>
  <cols>
    <col min="1" max="1" width="5.42578125" customWidth="1"/>
    <col min="2" max="2" width="28.7109375" customWidth="1"/>
    <col min="3" max="3" width="34" customWidth="1"/>
    <col min="4" max="4" width="16.7109375" customWidth="1"/>
    <col min="5" max="9" width="3.5703125" customWidth="1"/>
    <col min="10" max="16384" width="8.7109375" hidden="1"/>
  </cols>
  <sheetData>
    <row r="10" spans="2:4" ht="15"/>
    <row r="11" spans="2:4" ht="26.25">
      <c r="B11" s="47" t="s">
        <v>0</v>
      </c>
      <c r="C11" s="48"/>
      <c r="D11" s="49"/>
    </row>
    <row r="12" spans="2:4" ht="17.25">
      <c r="B12" s="53" t="s">
        <v>1</v>
      </c>
      <c r="C12" s="54"/>
      <c r="D12" s="20">
        <v>2300</v>
      </c>
    </row>
    <row r="13" spans="2:4" ht="17.45">
      <c r="B13" s="55" t="s">
        <v>2</v>
      </c>
      <c r="C13" s="56"/>
      <c r="D13" s="21">
        <v>6.0000000000000001E-3</v>
      </c>
    </row>
    <row r="14" spans="2:4" ht="18" thickBot="1">
      <c r="B14" s="57" t="s">
        <v>3</v>
      </c>
      <c r="C14" s="58"/>
      <c r="D14" s="22">
        <f>D12*30%</f>
        <v>690</v>
      </c>
    </row>
    <row r="15" spans="2:4" ht="15" thickBot="1"/>
    <row r="16" spans="2:4" ht="28.5" customHeight="1">
      <c r="B16" s="61" t="s">
        <v>4</v>
      </c>
      <c r="C16" s="62"/>
      <c r="D16" s="65"/>
    </row>
    <row r="17" spans="1:6" ht="17.45">
      <c r="B17" s="53" t="s">
        <v>5</v>
      </c>
      <c r="C17" s="54"/>
      <c r="D17" s="15">
        <v>400</v>
      </c>
    </row>
    <row r="18" spans="1:6" ht="17.45">
      <c r="B18" s="55" t="s">
        <v>6</v>
      </c>
      <c r="C18" s="56"/>
      <c r="D18" s="16">
        <v>5</v>
      </c>
    </row>
    <row r="19" spans="1:6" ht="17.45">
      <c r="B19" s="55" t="s">
        <v>7</v>
      </c>
      <c r="C19" s="56"/>
      <c r="D19" s="17">
        <v>1.0789999999999999E-2</v>
      </c>
    </row>
    <row r="20" spans="1:6" ht="17.45">
      <c r="B20" s="59" t="s">
        <v>8</v>
      </c>
      <c r="C20" s="60"/>
      <c r="D20" s="18">
        <f>FV(taxa_mensal,qtd_anos*12,aporte*-1)</f>
        <v>33510.765599395054</v>
      </c>
    </row>
    <row r="21" spans="1:6" ht="18" thickBot="1">
      <c r="B21" s="63" t="s">
        <v>9</v>
      </c>
      <c r="C21" s="64"/>
      <c r="D21" s="19">
        <f>patrimonio*rendimento_carteira</f>
        <v>201.06459359637032</v>
      </c>
      <c r="F21" s="3"/>
    </row>
    <row r="22" spans="1:6" ht="15" thickBot="1"/>
    <row r="23" spans="1:6" ht="30.75">
      <c r="B23" s="61" t="s">
        <v>10</v>
      </c>
      <c r="C23" s="62"/>
      <c r="D23" s="5" t="s">
        <v>11</v>
      </c>
    </row>
    <row r="24" spans="1:6" ht="17.45">
      <c r="A24" s="1">
        <v>2</v>
      </c>
      <c r="B24" s="6" t="s">
        <v>12</v>
      </c>
      <c r="C24" s="7">
        <f>FV($D$19,$A24*12,$D$17*-1)</f>
        <v>10891.050919058087</v>
      </c>
      <c r="D24" s="8">
        <f>C24*rendimento_carteira</f>
        <v>65.346305514348529</v>
      </c>
    </row>
    <row r="25" spans="1:6" ht="17.45">
      <c r="A25" s="1">
        <v>5</v>
      </c>
      <c r="B25" s="9" t="s">
        <v>13</v>
      </c>
      <c r="C25" s="10">
        <f>FV($D$19,$A25*12,$D$17*-1)</f>
        <v>33510.765599395054</v>
      </c>
      <c r="D25" s="11">
        <f>C25*rendimento_carteira</f>
        <v>201.06459359637032</v>
      </c>
    </row>
    <row r="26" spans="1:6" ht="17.45">
      <c r="A26" s="1">
        <v>10</v>
      </c>
      <c r="B26" s="9" t="s">
        <v>14</v>
      </c>
      <c r="C26" s="10">
        <f>FV($D$19,$A26*12,$D$17*-1)</f>
        <v>97313.685012068876</v>
      </c>
      <c r="D26" s="11">
        <f>C26*rendimento_carteira</f>
        <v>583.8821100724133</v>
      </c>
    </row>
    <row r="27" spans="1:6" ht="17.45">
      <c r="A27" s="1">
        <v>20</v>
      </c>
      <c r="B27" s="9" t="s">
        <v>15</v>
      </c>
      <c r="C27" s="10">
        <f>FV($D$19,$A27*12,$D$17*-1)</f>
        <v>450079.36003883224</v>
      </c>
      <c r="D27" s="11">
        <f>C27*rendimento_carteira</f>
        <v>2700.4761602329936</v>
      </c>
    </row>
    <row r="28" spans="1:6" ht="18" thickBot="1">
      <c r="A28" s="1">
        <v>30</v>
      </c>
      <c r="B28" s="12" t="s">
        <v>16</v>
      </c>
      <c r="C28" s="13">
        <f>FV($D$19,$A28*12,$D$17*-1)</f>
        <v>1728867.8620018859</v>
      </c>
      <c r="D28" s="14">
        <f>C28*rendimento_carteira</f>
        <v>10373.207172011316</v>
      </c>
    </row>
    <row r="31" spans="1:6">
      <c r="B31" s="23" t="s">
        <v>17</v>
      </c>
      <c r="C31" s="24" t="s">
        <v>18</v>
      </c>
      <c r="D31" s="23"/>
    </row>
    <row r="32" spans="1:6">
      <c r="B32" s="25" t="s">
        <v>19</v>
      </c>
      <c r="C32" s="26">
        <f>aporte</f>
        <v>400</v>
      </c>
      <c r="D32" s="25"/>
    </row>
    <row r="34" spans="1:4" ht="15">
      <c r="A34" s="1" t="s">
        <v>20</v>
      </c>
      <c r="B34" s="66" t="s">
        <v>21</v>
      </c>
      <c r="C34" s="66" t="s">
        <v>22</v>
      </c>
      <c r="D34" s="66" t="s">
        <v>23</v>
      </c>
    </row>
    <row r="35" spans="1:4" ht="15">
      <c r="A35" s="45">
        <f>D35</f>
        <v>120</v>
      </c>
      <c r="B35" s="67" t="s">
        <v>24</v>
      </c>
      <c r="C35" s="68">
        <f>VLOOKUP($C$31&amp;"-"&amp;B35,Planilha2!$A:$D,4,FALSE)</f>
        <v>0.3</v>
      </c>
      <c r="D35" s="43">
        <f>C35*$C$32</f>
        <v>120</v>
      </c>
    </row>
    <row r="36" spans="1:4" ht="15">
      <c r="A36" s="45">
        <f t="shared" ref="A36:A40" si="0">D36</f>
        <v>200</v>
      </c>
      <c r="B36" s="37" t="s">
        <v>25</v>
      </c>
      <c r="C36" s="38">
        <f>VLOOKUP($C$31&amp;"-"&amp;B36,Planilha2!$A:$D,4,FALSE)</f>
        <v>0.5</v>
      </c>
      <c r="D36" s="39">
        <f t="shared" ref="D36:D40" si="1">C36*$C$32</f>
        <v>200</v>
      </c>
    </row>
    <row r="37" spans="1:4" ht="15">
      <c r="A37" s="45">
        <f t="shared" si="0"/>
        <v>40</v>
      </c>
      <c r="B37" s="37" t="s">
        <v>26</v>
      </c>
      <c r="C37" s="38">
        <f>VLOOKUP($C$31&amp;"-"&amp;B37,Planilha2!$A:$D,4,FALSE)</f>
        <v>0.1</v>
      </c>
      <c r="D37" s="39">
        <f t="shared" si="1"/>
        <v>40</v>
      </c>
    </row>
    <row r="38" spans="1:4" ht="15">
      <c r="A38" s="45">
        <f t="shared" si="0"/>
        <v>40</v>
      </c>
      <c r="B38" s="37" t="s">
        <v>27</v>
      </c>
      <c r="C38" s="38">
        <f>VLOOKUP($C$31&amp;"-"&amp;B38,Planilha2!$A:$D,4,FALSE)</f>
        <v>0.1</v>
      </c>
      <c r="D38" s="39">
        <f t="shared" si="1"/>
        <v>40</v>
      </c>
    </row>
    <row r="39" spans="1:4" ht="15">
      <c r="A39" s="45">
        <f t="shared" si="0"/>
        <v>0</v>
      </c>
      <c r="B39" s="37" t="s">
        <v>28</v>
      </c>
      <c r="C39" s="40">
        <f>VLOOKUP($C$31&amp;"-"&amp;B39,Planilha2!$A:$D,4,FALSE)</f>
        <v>0</v>
      </c>
      <c r="D39" s="39">
        <f t="shared" si="1"/>
        <v>0</v>
      </c>
    </row>
    <row r="40" spans="1:4" ht="15">
      <c r="A40" s="45">
        <f t="shared" si="0"/>
        <v>0</v>
      </c>
      <c r="B40" s="41" t="s">
        <v>29</v>
      </c>
      <c r="C40" s="42">
        <f>VLOOKUP($C$31&amp;"-"&amp;B40,Planilha2!$A:$D,4,FALSE)</f>
        <v>0</v>
      </c>
      <c r="D40" s="43">
        <f t="shared" si="1"/>
        <v>0</v>
      </c>
    </row>
    <row r="41" spans="1:4" ht="15">
      <c r="B41" s="27"/>
      <c r="C41" s="27"/>
      <c r="D41" s="44">
        <f>SUM(D35:D40)</f>
        <v>400</v>
      </c>
    </row>
    <row r="55" spans="2:4" ht="15"/>
    <row r="56" spans="2:4" ht="15"/>
    <row r="57" spans="2:4" ht="15"/>
    <row r="58" spans="2:4" ht="30.75">
      <c r="B58" s="50" t="s">
        <v>30</v>
      </c>
      <c r="C58" s="51"/>
      <c r="D58" s="52"/>
    </row>
    <row r="59" spans="2:4" ht="15"/>
    <row r="60" spans="2:4" ht="18.75" customHeight="1">
      <c r="B60" s="71" t="s">
        <v>31</v>
      </c>
      <c r="C60" s="70">
        <f>aporte</f>
        <v>400</v>
      </c>
      <c r="D60" s="69" t="str">
        <f>TEXT(aporte/D12,"0%") &amp; " do salário"</f>
        <v>17% do salário</v>
      </c>
    </row>
    <row r="61" spans="2:4" ht="15"/>
    <row r="62" spans="2:4" ht="22.5" customHeight="1">
      <c r="B62" s="80" t="s">
        <v>32</v>
      </c>
      <c r="C62" s="80"/>
      <c r="D62" s="80"/>
    </row>
    <row r="63" spans="2:4" ht="15.75">
      <c r="B63" s="72" t="s">
        <v>33</v>
      </c>
      <c r="C63" s="73" t="s">
        <v>34</v>
      </c>
      <c r="D63" s="73" t="s">
        <v>35</v>
      </c>
    </row>
    <row r="64" spans="2:4" ht="15" customHeight="1">
      <c r="B64" s="74" t="s">
        <v>18</v>
      </c>
      <c r="C64" s="75" t="str">
        <f>_xlfn.XLOOKUP(D64,Planilha2!$E$3:$E$8,Planilha2!$C$3:$C$8,"0",0,1)</f>
        <v>TIJOLO</v>
      </c>
      <c r="D64" s="76">
        <f>LARGE(Planilha2!$E$3:$E$8,1)</f>
        <v>200</v>
      </c>
    </row>
    <row r="65" spans="2:4" ht="15">
      <c r="B65" s="74" t="s">
        <v>36</v>
      </c>
      <c r="C65" s="75" t="str">
        <f>_xlfn.XLOOKUP(D65,Planilha2!$E$9:$E$14,Planilha2!$C$9:$C$14,"0",0,1)</f>
        <v>TIJOLO</v>
      </c>
      <c r="D65" s="76">
        <f>LARGE(Planilha2!$E$9:$E$14,1)</f>
        <v>140</v>
      </c>
    </row>
    <row r="66" spans="2:4" ht="15">
      <c r="B66" s="77" t="s">
        <v>37</v>
      </c>
      <c r="C66" s="78" t="str">
        <f>_xlfn.XLOOKUP(D66,Planilha2!$E$15:$E$20,Planilha2!$C$15:$C$20,"0",0,1)</f>
        <v>PAPEL</v>
      </c>
      <c r="D66" s="79">
        <f>LARGE(Planilha2!$E$15:$E$20,1)</f>
        <v>200</v>
      </c>
    </row>
    <row r="67" spans="2:4" ht="15"/>
  </sheetData>
  <mergeCells count="13">
    <mergeCell ref="B11:D11"/>
    <mergeCell ref="B58:D58"/>
    <mergeCell ref="B62:D62"/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2">
    <dataValidation type="list" allowBlank="1" showInputMessage="1" showErrorMessage="1" sqref="C31" xr:uid="{25FB6157-0D6F-4288-BDF6-1C9F16279EC9}">
      <formula1>"Conservador, Moderado, Agressivo"</formula1>
    </dataValidation>
    <dataValidation allowBlank="1" showInputMessage="1" showErrorMessage="1" sqref="C60" xr:uid="{57B82ACB-4820-4B0C-B0D9-482C384440E3}"/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64"/>
  <sheetViews>
    <sheetView showGridLines="0" zoomScale="115" zoomScaleNormal="115" workbookViewId="0">
      <selection activeCell="D4" sqref="D4"/>
    </sheetView>
  </sheetViews>
  <sheetFormatPr defaultRowHeight="14.45"/>
  <cols>
    <col min="1" max="1" width="29.140625" bestFit="1" customWidth="1"/>
    <col min="2" max="2" width="11.5703125" bestFit="1" customWidth="1"/>
    <col min="3" max="3" width="17.7109375" bestFit="1" customWidth="1"/>
    <col min="5" max="5" width="9.5703125" bestFit="1" customWidth="1"/>
    <col min="7" max="7" width="15.42578125" bestFit="1" customWidth="1"/>
  </cols>
  <sheetData>
    <row r="2" spans="1:8" ht="15">
      <c r="A2" s="35" t="s">
        <v>38</v>
      </c>
      <c r="B2" s="35" t="s">
        <v>17</v>
      </c>
      <c r="C2" s="36" t="s">
        <v>21</v>
      </c>
      <c r="D2" s="36" t="s">
        <v>39</v>
      </c>
      <c r="E2" s="36" t="s">
        <v>40</v>
      </c>
    </row>
    <row r="3" spans="1:8">
      <c r="A3" t="str">
        <f>B3&amp;"-"&amp;C3</f>
        <v>Conservador-PAPEL</v>
      </c>
      <c r="B3" t="s">
        <v>18</v>
      </c>
      <c r="C3" s="2" t="s">
        <v>24</v>
      </c>
      <c r="D3" s="4">
        <v>0.3</v>
      </c>
      <c r="E3" s="46">
        <f>D3*aporte</f>
        <v>120</v>
      </c>
      <c r="H3" t="s">
        <v>39</v>
      </c>
    </row>
    <row r="4" spans="1:8">
      <c r="A4" t="str">
        <f t="shared" ref="A4:A20" si="0">B4&amp;"-"&amp;C4</f>
        <v>Conservador-TIJOLO</v>
      </c>
      <c r="B4" t="s">
        <v>18</v>
      </c>
      <c r="C4" s="2" t="s">
        <v>25</v>
      </c>
      <c r="D4" s="4">
        <v>0.5</v>
      </c>
      <c r="E4" s="46">
        <f>D4*aporte</f>
        <v>200</v>
      </c>
      <c r="G4" s="23" t="s">
        <v>41</v>
      </c>
      <c r="H4" s="34">
        <f>VLOOKUP(G4,$A:$D,4,FALSE)</f>
        <v>0.35</v>
      </c>
    </row>
    <row r="5" spans="1:8">
      <c r="A5" t="str">
        <f t="shared" si="0"/>
        <v>Conservador-HÍBRIDOS</v>
      </c>
      <c r="B5" t="s">
        <v>18</v>
      </c>
      <c r="C5" s="2" t="s">
        <v>26</v>
      </c>
      <c r="D5" s="4">
        <v>0.1</v>
      </c>
      <c r="E5" s="46">
        <f>D5*aporte</f>
        <v>40</v>
      </c>
    </row>
    <row r="6" spans="1:8">
      <c r="A6" t="str">
        <f t="shared" si="0"/>
        <v>Conservador-FOFs</v>
      </c>
      <c r="B6" t="s">
        <v>18</v>
      </c>
      <c r="C6" s="2" t="s">
        <v>27</v>
      </c>
      <c r="D6" s="4">
        <v>0.1</v>
      </c>
      <c r="E6" s="46">
        <f>D6*aporte</f>
        <v>40</v>
      </c>
    </row>
    <row r="7" spans="1:8">
      <c r="A7" t="str">
        <f t="shared" si="0"/>
        <v>Conservador-DESENVOLVIMENTO</v>
      </c>
      <c r="B7" t="s">
        <v>18</v>
      </c>
      <c r="C7" s="2" t="s">
        <v>28</v>
      </c>
      <c r="D7" s="4">
        <v>0</v>
      </c>
      <c r="E7" s="46">
        <f>D7*aporte</f>
        <v>0</v>
      </c>
    </row>
    <row r="8" spans="1:8" ht="15" thickBot="1">
      <c r="A8" s="28" t="str">
        <f t="shared" si="0"/>
        <v>Conservador-HOTELARIAS</v>
      </c>
      <c r="B8" s="28" t="s">
        <v>18</v>
      </c>
      <c r="C8" s="29" t="s">
        <v>29</v>
      </c>
      <c r="D8" s="30">
        <v>0</v>
      </c>
      <c r="E8" s="46">
        <f>D8*aporte</f>
        <v>0</v>
      </c>
    </row>
    <row r="9" spans="1:8">
      <c r="A9" t="str">
        <f t="shared" si="0"/>
        <v>Moderado-PAPEL</v>
      </c>
      <c r="B9" t="s">
        <v>36</v>
      </c>
      <c r="C9" s="2" t="s">
        <v>24</v>
      </c>
      <c r="D9" s="4">
        <v>0.32</v>
      </c>
      <c r="E9" s="46">
        <f>D9*aporte</f>
        <v>128</v>
      </c>
    </row>
    <row r="10" spans="1:8">
      <c r="A10" s="31" t="str">
        <f t="shared" si="0"/>
        <v>Moderado-TIJOLO</v>
      </c>
      <c r="B10" s="31" t="s">
        <v>36</v>
      </c>
      <c r="C10" s="32" t="s">
        <v>25</v>
      </c>
      <c r="D10" s="33">
        <v>0.35</v>
      </c>
      <c r="E10" s="46">
        <f>D10*aporte</f>
        <v>140</v>
      </c>
    </row>
    <row r="11" spans="1:8">
      <c r="A11" t="str">
        <f t="shared" si="0"/>
        <v>Moderado-HÍBRIDOS</v>
      </c>
      <c r="B11" t="s">
        <v>36</v>
      </c>
      <c r="C11" s="2" t="s">
        <v>26</v>
      </c>
      <c r="D11" s="4">
        <v>0.1</v>
      </c>
      <c r="E11" s="46">
        <f>D11*aporte</f>
        <v>40</v>
      </c>
    </row>
    <row r="12" spans="1:8">
      <c r="A12" t="str">
        <f t="shared" si="0"/>
        <v>Moderado-FOFs</v>
      </c>
      <c r="B12" t="s">
        <v>36</v>
      </c>
      <c r="C12" s="2" t="s">
        <v>27</v>
      </c>
      <c r="D12" s="4">
        <v>0.05</v>
      </c>
      <c r="E12" s="46">
        <f>D12*aporte</f>
        <v>20</v>
      </c>
    </row>
    <row r="13" spans="1:8">
      <c r="A13" t="str">
        <f t="shared" si="0"/>
        <v>Moderado-DESENVOLVIMENTO</v>
      </c>
      <c r="B13" t="s">
        <v>36</v>
      </c>
      <c r="C13" s="2" t="s">
        <v>28</v>
      </c>
      <c r="D13" s="4">
        <v>0.1</v>
      </c>
      <c r="E13" s="46">
        <f>D13*aporte</f>
        <v>40</v>
      </c>
    </row>
    <row r="14" spans="1:8" ht="15" thickBot="1">
      <c r="A14" s="28" t="str">
        <f t="shared" si="0"/>
        <v>Moderado-HOTELARIAS</v>
      </c>
      <c r="B14" s="28" t="s">
        <v>36</v>
      </c>
      <c r="C14" s="29" t="s">
        <v>29</v>
      </c>
      <c r="D14" s="30">
        <v>0.1</v>
      </c>
      <c r="E14" s="46">
        <f>D14*aporte</f>
        <v>40</v>
      </c>
    </row>
    <row r="15" spans="1:8">
      <c r="A15" t="str">
        <f t="shared" si="0"/>
        <v>Agressivo-PAPEL</v>
      </c>
      <c r="B15" t="s">
        <v>37</v>
      </c>
      <c r="C15" s="2" t="s">
        <v>24</v>
      </c>
      <c r="D15" s="4">
        <v>0.5</v>
      </c>
      <c r="E15" s="46">
        <f>D15*aporte</f>
        <v>200</v>
      </c>
    </row>
    <row r="16" spans="1:8">
      <c r="A16" t="str">
        <f t="shared" si="0"/>
        <v>Agressivo-TIJOLO</v>
      </c>
      <c r="B16" t="s">
        <v>37</v>
      </c>
      <c r="C16" s="2" t="s">
        <v>25</v>
      </c>
      <c r="D16" s="4">
        <v>0.1</v>
      </c>
      <c r="E16" s="46">
        <f>D16*aporte</f>
        <v>40</v>
      </c>
    </row>
    <row r="17" spans="1:5">
      <c r="A17" t="str">
        <f t="shared" si="0"/>
        <v>Agressivo-HÍBRIDOS</v>
      </c>
      <c r="B17" t="s">
        <v>37</v>
      </c>
      <c r="C17" s="2" t="s">
        <v>26</v>
      </c>
      <c r="D17" s="4">
        <v>0.05</v>
      </c>
      <c r="E17" s="46">
        <f>D17*aporte</f>
        <v>20</v>
      </c>
    </row>
    <row r="18" spans="1:5">
      <c r="A18" t="str">
        <f t="shared" si="0"/>
        <v>Agressivo-FOFs</v>
      </c>
      <c r="B18" t="s">
        <v>37</v>
      </c>
      <c r="C18" s="2" t="s">
        <v>27</v>
      </c>
      <c r="D18" s="4">
        <v>0.05</v>
      </c>
      <c r="E18" s="46">
        <f>D18*aporte</f>
        <v>20</v>
      </c>
    </row>
    <row r="19" spans="1:5">
      <c r="A19" t="str">
        <f t="shared" si="0"/>
        <v>Agressivo-DESENVOLVIMENTO</v>
      </c>
      <c r="B19" t="s">
        <v>37</v>
      </c>
      <c r="C19" s="2" t="s">
        <v>28</v>
      </c>
      <c r="D19" s="4">
        <v>0.2</v>
      </c>
      <c r="E19" s="46">
        <f>D19*aporte</f>
        <v>80</v>
      </c>
    </row>
    <row r="20" spans="1:5">
      <c r="A20" t="str">
        <f t="shared" si="0"/>
        <v>Agressivo-HOTELARIAS</v>
      </c>
      <c r="B20" t="s">
        <v>37</v>
      </c>
      <c r="C20" s="2" t="s">
        <v>29</v>
      </c>
      <c r="D20" s="4">
        <v>0.1</v>
      </c>
      <c r="E20" s="46">
        <f>D20*aporte</f>
        <v>40</v>
      </c>
    </row>
    <row r="21" spans="1:5">
      <c r="D21" s="2"/>
    </row>
    <row r="22" spans="1:5" ht="15"/>
    <row r="23" spans="1:5" ht="15"/>
    <row r="24" spans="1:5" ht="15"/>
    <row r="25" spans="1:5" ht="15"/>
    <row r="26" spans="1:5" ht="15"/>
    <row r="27" spans="1:5" ht="15"/>
    <row r="28" spans="1:5" ht="15"/>
    <row r="29" spans="1:5" ht="15"/>
    <row r="64" spans="3:4">
      <c r="C64" t="e">
        <f>VLOOKUP(B64,Planilha2!$B$3:$E$20,2)</f>
        <v>#N/A</v>
      </c>
      <c r="D64" t="e" cm="1">
        <f t="array" aca="1" ref="D64" ca="1">_xlfn.XLOOKUP(M,Planilha2!$B:$B,Planilha2!$E:$E,"0",0,1)</f>
        <v>#NAME?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/>
</file>

<file path=customXml/itemProps2.xml><?xml version="1.0" encoding="utf-8"?>
<ds:datastoreItem xmlns:ds="http://schemas.openxmlformats.org/officeDocument/2006/customXml" ds:itemID="{54D0D6DD-E6DB-45C8-8F90-E314C090C085}"/>
</file>

<file path=customXml/itemProps3.xml><?xml version="1.0" encoding="utf-8"?>
<ds:datastoreItem xmlns:ds="http://schemas.openxmlformats.org/officeDocument/2006/customXml" ds:itemID="{C32110DE-3D77-470C-9CED-65521C30E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>Gabriel Alves de Oliveira</cp:lastModifiedBy>
  <cp:revision/>
  <dcterms:created xsi:type="dcterms:W3CDTF">2025-04-16T18:38:03Z</dcterms:created>
  <dcterms:modified xsi:type="dcterms:W3CDTF">2026-01-22T15:50:00Z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